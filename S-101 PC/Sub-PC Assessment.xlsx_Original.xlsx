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dhs\Desktop\"/>
    </mc:Choice>
  </mc:AlternateContent>
  <xr:revisionPtr revIDLastSave="0" documentId="13_ncr:1_{06B4F0A7-614C-4DD0-BAE2-C88A714024D1}" xr6:coauthVersionLast="47" xr6:coauthVersionMax="47" xr10:uidLastSave="{00000000-0000-0000-0000-000000000000}"/>
  <bookViews>
    <workbookView xWindow="-108" yWindow="60" windowWidth="23256" windowHeight="12288" xr2:uid="{5F2394CD-CA9F-4FCB-B007-586A47913F2F}"/>
  </bookViews>
  <sheets>
    <sheet name="Portrayal sub WG" sheetId="2" r:id="rId1"/>
  </sheets>
  <definedNames>
    <definedName name="_xlnm._FilterDatabase" localSheetId="0" hidden="1">'Portrayal sub WG'!$A$1:$G$36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<sst xmlns="http://schemas.openxmlformats.org/spreadsheetml/2006/main" count="173" uniqueCount="63">
  <si>
    <t>Restricted Area symbol Display, what's this strange new symbol ?</t>
  </si>
  <si>
    <t>Anchor Berth display</t>
  </si>
  <si>
    <t>New Line Style Required for New Feature Depth Discontinuity</t>
  </si>
  <si>
    <t>Proposed Label</t>
  </si>
  <si>
    <t>Impact Assessment</t>
  </si>
  <si>
    <t>ID</t>
  </si>
  <si>
    <t>Issue Title</t>
  </si>
  <si>
    <t>Documentation</t>
  </si>
  <si>
    <t xml:space="preserve">For 2.1.0 </t>
  </si>
  <si>
    <t xml:space="preserve">Low </t>
  </si>
  <si>
    <t>Comments</t>
  </si>
  <si>
    <t>We need an update from NIWC</t>
  </si>
  <si>
    <t>N/A</t>
  </si>
  <si>
    <t>Ongoing task low priority</t>
  </si>
  <si>
    <t>Add an Opaque Colour option for display of QoBD in Development Branch</t>
  </si>
  <si>
    <t>Floating MARCULS</t>
  </si>
  <si>
    <t>Spherical Buoy Shape Changes for ODAS Buoys</t>
  </si>
  <si>
    <t>Display of Text String Indicating Multiple Features</t>
  </si>
  <si>
    <t>Post 2.1.0</t>
  </si>
  <si>
    <t xml:space="preserve">Needs development for future PC update. </t>
  </si>
  <si>
    <t>NIWC to confirm completed?</t>
  </si>
  <si>
    <t>Paper to S-101PT needed</t>
  </si>
  <si>
    <t>Referred to NCWG hold on their response</t>
  </si>
  <si>
    <t>Portrayal sub WG</t>
  </si>
  <si>
    <t>Repo</t>
  </si>
  <si>
    <t>Display contour label on depth contour adjacent to obstruction</t>
  </si>
  <si>
    <t>Proposal for new group of sounding symbols</t>
  </si>
  <si>
    <t>Changes to Submarine Cable symbology (S-52 5.0.0)</t>
  </si>
  <si>
    <t>High</t>
  </si>
  <si>
    <t xml:space="preserve">Required to align with S-52 </t>
  </si>
  <si>
    <t>Discussion needed</t>
  </si>
  <si>
    <t>S-101_Portrayal-Catalogue</t>
  </si>
  <si>
    <t>RadioCallingInPoint: only first orientationValue is portrayed</t>
  </si>
  <si>
    <t>Re-Introduce Portrayal for natureOfConstruction = 9 (painted) for Daymark</t>
  </si>
  <si>
    <t>Stop S-101 Bridge features from triggering Alerts when SpanFix and/or SpanOpen exist</t>
  </si>
  <si>
    <t>New categoryOfObstruction - Decommissioned Platform Jacket</t>
  </si>
  <si>
    <t>category of light.</t>
  </si>
  <si>
    <t>Implement preferred `CATZOC` portrayal options · Issue #342 · iho-ohi/S-101_Portrayal-Catalogue</t>
  </si>
  <si>
    <t>Cable Overhead - New symbol for 'Power lines' · Issue #453 · iho-ohi/S-101_Portrayal-Catalogue</t>
  </si>
  <si>
    <t>See 182/183/184 above close issue</t>
  </si>
  <si>
    <t>`RadioCallingInPoint` with association to `ContactDetails` doesn't show communication channel · Issue #465 · iho-ohi/S-101_Portrayal-Catalogue</t>
  </si>
  <si>
    <t>Allow `National Language` context parameter to specify prioritized list of languages · Issue #470 · iho-ohi/S-101_Portrayal-Catalogue</t>
  </si>
  <si>
    <t>S101 portrayal as an image sprite and data table · Issue #471 · iho-ohi/S-101_Portrayal-Catalogue</t>
  </si>
  <si>
    <t>IHO S-101 PC v.2.0.0 - error in FERYRT*.xml symbols? · Issue #474 · iho-ohi/S-101_Portrayal-Catalogue</t>
  </si>
  <si>
    <t>Proper portrayal of overlapping edges and features</t>
  </si>
  <si>
    <t>Depth No Bottom Found features and Alerts</t>
  </si>
  <si>
    <t>IHO S-101 PC v.2.0.0 - incorrect Pivot Point in LIGHTS82.svg symbol?</t>
  </si>
  <si>
    <t>Change needed in S-98</t>
  </si>
  <si>
    <t>Question about text placement and value displayed</t>
  </si>
  <si>
    <t>[PC 2.0.0] Fix incorrect type check (CheckType) in PortrayalAPI.lua (lines 315, 324)</t>
  </si>
  <si>
    <t>RECDEF02 has dash that starts after the interval length</t>
  </si>
  <si>
    <t>RECTRC10 has dash line that's longer than the intervalLength</t>
  </si>
  <si>
    <t>Status</t>
  </si>
  <si>
    <t>Closed</t>
  </si>
  <si>
    <t>Open</t>
  </si>
  <si>
    <t>2.1.0</t>
  </si>
  <si>
    <t>IHO S-101 ed.2.0.0 - question about presentation of centred symbols within area's borders</t>
  </si>
  <si>
    <t>EWMB incorrect in dusk and night palettes **note: GI REGISTRY ONLY,  reached out Mr. Kang, v2.1.0 of PC needs to be released before requesting a bulk GI Registry Update</t>
  </si>
  <si>
    <t>All symbols must be updated (transferred from subwg 124)</t>
  </si>
  <si>
    <t xml:space="preserve"> Develop an 'Easy Guide' on the portrayal differences between S-52 and S-101</t>
  </si>
  <si>
    <t xml:space="preserve">New Line Style for Subsurface Cliffs Required </t>
  </si>
  <si>
    <t>Changes to Cable Area symbology (S-52 5.0.0) **note: Alvaro's comments, difference in symbology between power/telecomm cables?</t>
  </si>
  <si>
    <t>Changes to Cable overhead symbology (S-52 5.0.0) **note: Alvaro, grey or magenta text for verticalClearance text instead of black?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</si>
</sst>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4"/>
    <xf numFmtId="0" fontId="0" fillId="0" borderId="2" xfId="0" applyBorder="1"/>
    <xf numFmtId="0" fontId="5" fillId="0" borderId="2" xfId="4" applyBorder="1"/>
    <xf numFmtId="0" fontId="1" fillId="2" borderId="2" xfId="1" applyBorder="1"/>
    <xf numFmtId="0" fontId="0" fillId="0" borderId="3" xfId="0" applyBorder="1"/>
    <xf numFmtId="0" fontId="4" fillId="0" borderId="2" xfId="0" applyFont="1" applyBorder="1"/>
    <xf numFmtId="0" fontId="3" fillId="4" borderId="1" xfId="3"/>
    <xf numFmtId="0" fontId="0" fillId="0" borderId="0" xfId="0" applyFill="1" applyBorder="1"/>
    <xf numFmtId="0" fontId="4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4" applyFont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Fill="1"/>
    <xf numFmtId="0" fontId="7" fillId="0" borderId="0" xfId="4" applyFont="1"/>
    <xf numFmtId="0" fontId="7" fillId="5" borderId="2" xfId="2" applyFont="1" applyFill="1" applyBorder="1"/>
    <xf numFmtId="0" fontId="7" fillId="6" borderId="2" xfId="1" applyFont="1" applyFill="1" applyBorder="1"/>
    <xf numFmtId="0" fontId="7" fillId="6" borderId="0" xfId="0" applyFont="1" applyFill="1"/>
    <xf numFmtId="0" fontId="7" fillId="0" borderId="2" xfId="0" applyFont="1" applyBorder="1"/>
    <xf numFmtId="0" fontId="7" fillId="0" borderId="0" xfId="0" applyFont="1"/>
    <xf numFmtId="0" fontId="7" fillId="5" borderId="2" xfId="1" applyFont="1" applyFill="1" applyBorder="1"/>
    <xf numFmtId="0" fontId="7" fillId="0" borderId="0" xfId="4" applyFont="1" applyFill="1" applyBorder="1"/>
    <xf numFmtId="0" fontId="7" fillId="5" borderId="3" xfId="2" applyFont="1" applyFill="1" applyBorder="1"/>
  </cellXfs>
  <cellStyles count="5">
    <cellStyle name="Bad" xfId="2" builtinId="27"/>
    <cellStyle name="Calculation" xfId="3" builtinId="22"/>
    <cellStyle name="Good" xfId="1" builtinId="26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iho-ohi/S-101_Portrayal-Catalogue/issues/453" TargetMode="External"/><Relationship Id="rId18" Type="http://schemas.openxmlformats.org/officeDocument/2006/relationships/hyperlink" Target="https://github.com/iho-ohi/S-101_Portrayal-Catalogue/issues/474" TargetMode="External"/><Relationship Id="rId26" Type="http://schemas.openxmlformats.org/officeDocument/2006/relationships/hyperlink" Target="EWMB%20incorrect%20in%20dusk%20and%20night%20palettes%20**note:%20GI%20REGISTRY%20ONLY,%20%20reached%20out%20Mr.%20Kang,%20v2.1.0%20of%20PC%20needs%20to%20be%20released%20before%20requesting%20a%20bulk%20GI%20Registry%20Update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%5bPC%202.0.0%5d%20Fix%20incorrect%20type%20check%20(CheckType)%20in%20PortrayalAPI.lua%20(lines%20315,%20324)" TargetMode="External"/><Relationship Id="rId34" Type="http://schemas.openxmlformats.org/officeDocument/2006/relationships/hyperlink" Target="https://github.com/S-101-Portrayal-subWG/Working-Documents/issues/183" TargetMode="External"/><Relationship Id="rId7" Type="http://schemas.openxmlformats.org/officeDocument/2006/relationships/hyperlink" Target="https://github.com/iho-ohi/S-101_Portrayal-Catalogue/issues/502" TargetMode="External"/><Relationship Id="rId12" Type="http://schemas.openxmlformats.org/officeDocument/2006/relationships/hyperlink" Target="https://github.com/iho-ohi/S-101_Portrayal-Catalogue/issues/342" TargetMode="External"/><Relationship Id="rId17" Type="http://schemas.openxmlformats.org/officeDocument/2006/relationships/hyperlink" Target="https://github.com/iho-ohi/S-101_Portrayal-Catalogue/issues/471" TargetMode="External"/><Relationship Id="rId25" Type="http://schemas.openxmlformats.org/officeDocument/2006/relationships/hyperlink" Target="Proper%20portrayal%20of%20overlapping%20edges%20and%20features" TargetMode="External"/><Relationship Id="rId33" Type="http://schemas.openxmlformats.org/officeDocument/2006/relationships/hyperlink" Target="https://github.com/S-101-Portrayal-subWG/Working-Documents/issues/184" TargetMode="External"/><Relationship Id="rId38" Type="http://schemas.openxmlformats.org/officeDocument/2006/relationships/hyperlink" Target="https://github.com/S-101-Portrayal-subWG/Working-Documents/issues/180" TargetMode="External"/><Relationship Id="rId2" Type="http://schemas.openxmlformats.org/officeDocument/2006/relationships/hyperlink" Target="https://github.com/S-101-Portrayal-subWG/Working-Documents/issues/198" TargetMode="External"/><Relationship Id="rId16" Type="http://schemas.openxmlformats.org/officeDocument/2006/relationships/hyperlink" Target="https://github.com/iho-ohi/S-101_Portrayal-Catalogue/issues/470" TargetMode="External"/><Relationship Id="rId20" Type="http://schemas.openxmlformats.org/officeDocument/2006/relationships/hyperlink" Target="Question%20about%20text%20placement%20and%20value%20displayed" TargetMode="External"/><Relationship Id="rId29" Type="http://schemas.openxmlformats.org/officeDocument/2006/relationships/hyperlink" Target="Develop%20an%20'Easy%20Guide'%20on%20the%20portrayal%20differences%20between%20S-52%20and%20S-101" TargetMode="External"/><Relationship Id="rId1" Type="http://schemas.openxmlformats.org/officeDocument/2006/relationships/hyperlink" Target="https://github.com/S-101-Portrayal-subWG/Working-Documents/issues/199" TargetMode="External"/><Relationship Id="rId6" Type="http://schemas.openxmlformats.org/officeDocument/2006/relationships/hyperlink" Target="https://github.com/iho-ohi/S-101_Portrayal-Catalogue" TargetMode="External"/><Relationship Id="rId11" Type="http://schemas.openxmlformats.org/officeDocument/2006/relationships/hyperlink" Target="https://github.com/iho-ohi/S-101_Portrayal-Catalogue/issues/481" TargetMode="External"/><Relationship Id="rId24" Type="http://schemas.openxmlformats.org/officeDocument/2006/relationships/hyperlink" Target="IHO%20S-101%20ed.2.0.0%20-%20question%20about%20presentation%20of%20centred%20symbols%20within%20area's%20borders" TargetMode="External"/><Relationship Id="rId32" Type="http://schemas.openxmlformats.org/officeDocument/2006/relationships/hyperlink" Target="https://github.com/S-101-Portrayal-subWG/Working-Documents/issues/185" TargetMode="External"/><Relationship Id="rId37" Type="http://schemas.openxmlformats.org/officeDocument/2006/relationships/hyperlink" Target="https://github.com/S-101-Portrayal-subWG/Working-Documents/issues/187" TargetMode="External"/><Relationship Id="rId5" Type="http://schemas.openxmlformats.org/officeDocument/2006/relationships/hyperlink" Target="https://github.com/iho-ohi/S-101_Portrayal-Catalogue" TargetMode="External"/><Relationship Id="rId15" Type="http://schemas.openxmlformats.org/officeDocument/2006/relationships/hyperlink" Target="https://github.com/iho-ohi/S-101_Portrayal-Catalogue/issues/465" TargetMode="External"/><Relationship Id="rId23" Type="http://schemas.openxmlformats.org/officeDocument/2006/relationships/hyperlink" Target="RECTRC10%20has%20dash%20line%20that's%20longer%20than%20the%20intervalLength" TargetMode="External"/><Relationship Id="rId28" Type="http://schemas.openxmlformats.org/officeDocument/2006/relationships/hyperlink" Target="Add%20an%20Opaque%20Colour%20option%20for%20display%20of%20QoBD%20in%20Development%20Branch" TargetMode="External"/><Relationship Id="rId36" Type="http://schemas.openxmlformats.org/officeDocument/2006/relationships/hyperlink" Target="https://github.com/S-101-Portrayal-subWG/Working-Documents/issues/188" TargetMode="External"/><Relationship Id="rId10" Type="http://schemas.openxmlformats.org/officeDocument/2006/relationships/hyperlink" Target="https://github.com/iho-ohi/S-101_Portrayal-Catalogue/issues/495" TargetMode="External"/><Relationship Id="rId19" Type="http://schemas.openxmlformats.org/officeDocument/2006/relationships/hyperlink" Target="https://github.com/iho-ohi/S-101_Portrayal-Catalogue/issues/475" TargetMode="External"/><Relationship Id="rId31" Type="http://schemas.openxmlformats.org/officeDocument/2006/relationships/hyperlink" Target="https://github.com/S-101-Portrayal-subWG/Working-Documents/issues/190" TargetMode="External"/><Relationship Id="rId4" Type="http://schemas.openxmlformats.org/officeDocument/2006/relationships/hyperlink" Target="https://github.com/S-101-Portrayal-subWG/Working-Documents/issues/177" TargetMode="External"/><Relationship Id="rId9" Type="http://schemas.openxmlformats.org/officeDocument/2006/relationships/hyperlink" Target="https://github.com/iho-ohi/S-101_Portrayal-Catalogue/issues/497" TargetMode="External"/><Relationship Id="rId14" Type="http://schemas.openxmlformats.org/officeDocument/2006/relationships/hyperlink" Target="https://github.com/iho-ohi/S-101_Portrayal-Catalogue" TargetMode="External"/><Relationship Id="rId22" Type="http://schemas.openxmlformats.org/officeDocument/2006/relationships/hyperlink" Target="RECDEF02%20has%20dash%20that%20starts%20after%20the%20interval%20length" TargetMode="External"/><Relationship Id="rId27" Type="http://schemas.openxmlformats.org/officeDocument/2006/relationships/hyperlink" Target="All%20symbols%20must%20be%20updated%20(transferred%20from%20subwg%20124)" TargetMode="External"/><Relationship Id="rId30" Type="http://schemas.openxmlformats.org/officeDocument/2006/relationships/hyperlink" Target="https://github.com/iho-ohi/S-101_Portrayal-Catalogue/issues/477" TargetMode="External"/><Relationship Id="rId35" Type="http://schemas.openxmlformats.org/officeDocument/2006/relationships/hyperlink" Target="https://github.com/S-101-Portrayal-subWG/Working-Documents/issues/182" TargetMode="External"/><Relationship Id="rId8" Type="http://schemas.openxmlformats.org/officeDocument/2006/relationships/hyperlink" Target="https://github.com/iho-ohi/S-101_Portrayal-Catalogue/issues/499" TargetMode="External"/><Relationship Id="rId3" Type="http://schemas.openxmlformats.org/officeDocument/2006/relationships/hyperlink" Target="https://github.com/S-101-Portrayal-subWG/Working-Documents/issues/1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43C0-7B15-4C7B-91F8-955D099CE460}">
  <dimension ref="A1:G36"/>
  <sheetViews>
    <sheetView tabSelected="1" topLeftCell="A10" workbookViewId="0">
      <selection activeCell="B12" sqref="B12"/>
    </sheetView>
  </sheetViews>
  <sheetFormatPr defaultRowHeight="14.4" x14ac:dyDescent="0.3"/>
  <cols>
    <col min="2" max="2" width="144.33203125" customWidth="1"/>
    <col min="3" max="3" width="26.77734375" customWidth="1"/>
    <col min="4" max="4" width="18.33203125" customWidth="1"/>
    <col min="5" max="5" width="19" customWidth="1"/>
    <col min="6" max="6" width="39.5546875" customWidth="1"/>
    <col min="7" max="7" width="29.6640625" customWidth="1"/>
  </cols>
  <sheetData>
    <row r="1" spans="1:7" x14ac:dyDescent="0.3">
      <c r="A1" s="6" t="s">
        <v>5</v>
      </c>
      <c r="B1" s="6" t="s">
        <v>6</v>
      </c>
      <c r="C1" s="9" t="s">
        <v>52</v>
      </c>
      <c r="D1" s="6" t="s">
        <v>3</v>
      </c>
      <c r="E1" s="6" t="s">
        <v>4</v>
      </c>
      <c r="F1" s="6" t="s">
        <v>10</v>
      </c>
      <c r="G1" s="6" t="s">
        <v>24</v>
      </c>
    </row>
    <row r="2" spans="1:7" x14ac:dyDescent="0.3">
      <c r="A2" s="2">
        <v>199</v>
      </c>
      <c r="B2" s="3" t="s">
        <v>0</v>
      </c>
      <c r="C2" s="10" t="s">
        <v>53</v>
      </c>
      <c r="D2" s="4" t="s">
        <v>7</v>
      </c>
      <c r="E2" s="2"/>
      <c r="F2" s="2" t="s">
        <v>47</v>
      </c>
      <c r="G2" s="2" t="s">
        <v>23</v>
      </c>
    </row>
    <row r="3" spans="1:7" x14ac:dyDescent="0.3">
      <c r="A3" s="2">
        <v>198</v>
      </c>
      <c r="B3" s="3" t="s">
        <v>1</v>
      </c>
      <c r="C3" s="10" t="s">
        <v>54</v>
      </c>
      <c r="D3" s="16" t="s">
        <v>18</v>
      </c>
      <c r="E3" s="2"/>
      <c r="F3" s="2"/>
      <c r="G3" s="2" t="s">
        <v>23</v>
      </c>
    </row>
    <row r="4" spans="1:7" x14ac:dyDescent="0.3">
      <c r="A4" s="11">
        <v>191</v>
      </c>
      <c r="B4" s="3" t="s">
        <v>2</v>
      </c>
      <c r="C4" s="10" t="s">
        <v>53</v>
      </c>
      <c r="D4" s="15" t="s">
        <v>8</v>
      </c>
      <c r="E4" s="2"/>
      <c r="F4" s="2"/>
      <c r="G4" s="2" t="s">
        <v>23</v>
      </c>
    </row>
    <row r="5" spans="1:7" x14ac:dyDescent="0.3">
      <c r="A5" s="11">
        <v>190</v>
      </c>
      <c r="B5" s="3" t="s">
        <v>60</v>
      </c>
      <c r="C5" s="2" t="s">
        <v>53</v>
      </c>
      <c r="D5" s="15" t="s">
        <v>8</v>
      </c>
      <c r="E5" s="2" t="s">
        <v>9</v>
      </c>
      <c r="F5" s="2"/>
      <c r="G5" s="2" t="s">
        <v>23</v>
      </c>
    </row>
    <row r="6" spans="1:7" x14ac:dyDescent="0.3">
      <c r="A6" s="2">
        <v>188</v>
      </c>
      <c r="B6" s="3" t="s">
        <v>17</v>
      </c>
      <c r="C6" s="18" t="s">
        <v>54</v>
      </c>
      <c r="D6" s="16" t="s">
        <v>18</v>
      </c>
      <c r="E6" s="2"/>
      <c r="F6" s="2" t="s">
        <v>19</v>
      </c>
      <c r="G6" s="2" t="s">
        <v>23</v>
      </c>
    </row>
    <row r="7" spans="1:7" x14ac:dyDescent="0.3">
      <c r="A7" s="2">
        <v>187</v>
      </c>
      <c r="B7" s="3" t="s">
        <v>25</v>
      </c>
      <c r="C7" s="18" t="s">
        <v>54</v>
      </c>
      <c r="D7" s="16" t="s">
        <v>18</v>
      </c>
      <c r="E7" s="2"/>
      <c r="F7" s="2" t="s">
        <v>30</v>
      </c>
      <c r="G7" s="2" t="s">
        <v>23</v>
      </c>
    </row>
    <row r="8" spans="1:7" x14ac:dyDescent="0.3">
      <c r="A8" s="11">
        <v>185</v>
      </c>
      <c r="B8" s="3" t="s">
        <v>26</v>
      </c>
      <c r="C8" s="18" t="s">
        <v>53</v>
      </c>
      <c r="D8" s="20" t="s">
        <v>55</v>
      </c>
      <c r="E8" s="2"/>
      <c r="F8" s="2"/>
      <c r="G8" s="2" t="s">
        <v>23</v>
      </c>
    </row>
    <row r="9" spans="1:7" x14ac:dyDescent="0.3">
      <c r="A9" s="11">
        <v>184</v>
      </c>
      <c r="B9" s="3" t="s">
        <v>27</v>
      </c>
      <c r="C9" s="2" t="s">
        <v>53</v>
      </c>
      <c r="D9" s="15" t="s">
        <v>8</v>
      </c>
      <c r="E9" s="2" t="s">
        <v>28</v>
      </c>
      <c r="F9" s="2" t="s">
        <v>29</v>
      </c>
      <c r="G9" s="2" t="s">
        <v>23</v>
      </c>
    </row>
    <row r="10" spans="1:7" x14ac:dyDescent="0.3">
      <c r="A10" s="11">
        <v>183</v>
      </c>
      <c r="B10" s="3" t="s">
        <v>61</v>
      </c>
      <c r="C10" s="2" t="s">
        <v>53</v>
      </c>
      <c r="D10" s="15" t="s">
        <v>8</v>
      </c>
      <c r="E10" s="2" t="s">
        <v>28</v>
      </c>
      <c r="F10" s="2" t="s">
        <v>29</v>
      </c>
      <c r="G10" s="2" t="s">
        <v>23</v>
      </c>
    </row>
    <row r="11" spans="1:7" x14ac:dyDescent="0.3">
      <c r="A11" s="11">
        <v>182</v>
      </c>
      <c r="B11" s="3" t="s">
        <v>62</v>
      </c>
      <c r="C11" s="2" t="s">
        <v>53</v>
      </c>
      <c r="D11" s="15" t="s">
        <v>8</v>
      </c>
      <c r="E11" s="2" t="s">
        <v>28</v>
      </c>
      <c r="F11" s="2" t="s">
        <v>29</v>
      </c>
      <c r="G11" s="2" t="s">
        <v>23</v>
      </c>
    </row>
    <row r="12" spans="1:7" x14ac:dyDescent="0.3">
      <c r="A12" s="2">
        <v>180</v>
      </c>
      <c r="B12" s="3" t="s">
        <v>16</v>
      </c>
      <c r="C12" s="18" t="s">
        <v>54</v>
      </c>
      <c r="D12" s="16" t="s">
        <v>18</v>
      </c>
      <c r="E12" s="2"/>
      <c r="F12" s="2"/>
      <c r="G12" s="2" t="s">
        <v>23</v>
      </c>
    </row>
    <row r="13" spans="1:7" x14ac:dyDescent="0.3">
      <c r="A13" s="2">
        <v>177</v>
      </c>
      <c r="B13" s="3" t="s">
        <v>15</v>
      </c>
      <c r="C13" s="10" t="s">
        <v>54</v>
      </c>
      <c r="D13" s="16" t="s">
        <v>18</v>
      </c>
      <c r="E13" s="2"/>
      <c r="F13" s="2" t="s">
        <v>22</v>
      </c>
      <c r="G13" s="2" t="s">
        <v>23</v>
      </c>
    </row>
    <row r="14" spans="1:7" x14ac:dyDescent="0.3">
      <c r="A14" s="2">
        <v>173</v>
      </c>
      <c r="B14" s="3" t="s">
        <v>14</v>
      </c>
      <c r="C14" s="18" t="s">
        <v>54</v>
      </c>
      <c r="D14" s="16" t="s">
        <v>18</v>
      </c>
      <c r="E14" s="2"/>
      <c r="F14" s="2" t="s">
        <v>21</v>
      </c>
      <c r="G14" s="2" t="s">
        <v>23</v>
      </c>
    </row>
    <row r="15" spans="1:7" x14ac:dyDescent="0.3">
      <c r="A15" s="2">
        <v>115</v>
      </c>
      <c r="B15" s="3" t="s">
        <v>59</v>
      </c>
      <c r="C15" s="18" t="s">
        <v>54</v>
      </c>
      <c r="D15" s="4" t="s">
        <v>7</v>
      </c>
      <c r="E15" s="2"/>
      <c r="F15" s="2" t="s">
        <v>13</v>
      </c>
      <c r="G15" s="2" t="s">
        <v>23</v>
      </c>
    </row>
    <row r="16" spans="1:7" x14ac:dyDescent="0.3">
      <c r="A16" s="12">
        <v>502</v>
      </c>
      <c r="B16" s="1" t="s">
        <v>32</v>
      </c>
      <c r="C16" s="14" t="s">
        <v>53</v>
      </c>
      <c r="D16" s="15" t="s">
        <v>8</v>
      </c>
      <c r="E16" s="2" t="s">
        <v>9</v>
      </c>
      <c r="G16" s="1" t="s">
        <v>31</v>
      </c>
    </row>
    <row r="17" spans="1:7" x14ac:dyDescent="0.3">
      <c r="A17" s="12">
        <v>499</v>
      </c>
      <c r="B17" s="1" t="s">
        <v>33</v>
      </c>
      <c r="C17" s="14" t="s">
        <v>53</v>
      </c>
      <c r="D17" s="15" t="s">
        <v>8</v>
      </c>
      <c r="E17" s="2" t="s">
        <v>9</v>
      </c>
      <c r="G17" s="1" t="s">
        <v>31</v>
      </c>
    </row>
    <row r="18" spans="1:7" x14ac:dyDescent="0.3">
      <c r="A18" s="12">
        <v>497</v>
      </c>
      <c r="B18" s="1" t="s">
        <v>34</v>
      </c>
      <c r="C18" s="14" t="s">
        <v>53</v>
      </c>
      <c r="D18" s="15" t="s">
        <v>8</v>
      </c>
      <c r="E18" s="2" t="s">
        <v>9</v>
      </c>
      <c r="G18" s="1" t="s">
        <v>31</v>
      </c>
    </row>
    <row r="19" spans="1:7" x14ac:dyDescent="0.3">
      <c r="A19" s="12">
        <v>495</v>
      </c>
      <c r="B19" s="1" t="s">
        <v>35</v>
      </c>
      <c r="C19" s="14" t="s">
        <v>53</v>
      </c>
      <c r="D19" s="15" t="s">
        <v>8</v>
      </c>
      <c r="E19" s="2" t="s">
        <v>9</v>
      </c>
      <c r="G19" s="1" t="s">
        <v>31</v>
      </c>
    </row>
    <row r="20" spans="1:7" x14ac:dyDescent="0.3">
      <c r="A20" s="5">
        <v>484</v>
      </c>
      <c r="B20" s="1" t="s">
        <v>44</v>
      </c>
      <c r="C20" s="19" t="s">
        <v>54</v>
      </c>
      <c r="D20" s="16" t="s">
        <v>18</v>
      </c>
      <c r="G20" s="1" t="s">
        <v>31</v>
      </c>
    </row>
    <row r="21" spans="1:7" x14ac:dyDescent="0.3">
      <c r="A21" s="13">
        <v>481</v>
      </c>
      <c r="B21" s="1" t="s">
        <v>36</v>
      </c>
      <c r="C21" s="14" t="s">
        <v>53</v>
      </c>
      <c r="D21" s="15" t="s">
        <v>8</v>
      </c>
      <c r="E21" s="2" t="s">
        <v>9</v>
      </c>
      <c r="G21" s="1" t="s">
        <v>31</v>
      </c>
    </row>
    <row r="22" spans="1:7" x14ac:dyDescent="0.3">
      <c r="A22">
        <v>478</v>
      </c>
      <c r="B22" s="1" t="s">
        <v>56</v>
      </c>
      <c r="C22" s="14" t="s">
        <v>54</v>
      </c>
      <c r="D22" s="22" t="s">
        <v>18</v>
      </c>
      <c r="G22" s="1" t="s">
        <v>31</v>
      </c>
    </row>
    <row r="23" spans="1:7" x14ac:dyDescent="0.3">
      <c r="A23">
        <v>477</v>
      </c>
      <c r="B23" s="1" t="s">
        <v>45</v>
      </c>
      <c r="C23" s="21" t="s">
        <v>54</v>
      </c>
      <c r="D23" s="22" t="s">
        <v>18</v>
      </c>
      <c r="G23" s="1" t="s">
        <v>31</v>
      </c>
    </row>
    <row r="24" spans="1:7" x14ac:dyDescent="0.3">
      <c r="A24">
        <v>475</v>
      </c>
      <c r="B24" s="1" t="s">
        <v>46</v>
      </c>
      <c r="C24" s="14" t="s">
        <v>54</v>
      </c>
      <c r="D24" s="16" t="s">
        <v>18</v>
      </c>
      <c r="G24" s="1" t="s">
        <v>31</v>
      </c>
    </row>
    <row r="25" spans="1:7" x14ac:dyDescent="0.3">
      <c r="A25" s="13">
        <v>474</v>
      </c>
      <c r="B25" s="1" t="s">
        <v>43</v>
      </c>
      <c r="C25" s="14" t="s">
        <v>53</v>
      </c>
      <c r="D25" s="15" t="s">
        <v>8</v>
      </c>
      <c r="E25" t="s">
        <v>9</v>
      </c>
      <c r="G25" s="1" t="s">
        <v>31</v>
      </c>
    </row>
    <row r="26" spans="1:7" x14ac:dyDescent="0.3">
      <c r="A26">
        <v>471</v>
      </c>
      <c r="B26" s="1" t="s">
        <v>42</v>
      </c>
      <c r="C26" s="14" t="s">
        <v>54</v>
      </c>
      <c r="D26" s="4" t="s">
        <v>7</v>
      </c>
      <c r="G26" s="1" t="s">
        <v>31</v>
      </c>
    </row>
    <row r="27" spans="1:7" x14ac:dyDescent="0.3">
      <c r="A27" s="13">
        <v>470</v>
      </c>
      <c r="B27" s="1" t="s">
        <v>41</v>
      </c>
      <c r="C27" s="14" t="s">
        <v>53</v>
      </c>
      <c r="D27" s="15" t="s">
        <v>8</v>
      </c>
      <c r="E27" t="s">
        <v>9</v>
      </c>
      <c r="G27" s="1" t="s">
        <v>31</v>
      </c>
    </row>
    <row r="28" spans="1:7" x14ac:dyDescent="0.3">
      <c r="A28">
        <v>465</v>
      </c>
      <c r="B28" s="1" t="s">
        <v>40</v>
      </c>
      <c r="C28" s="14" t="s">
        <v>54</v>
      </c>
      <c r="D28" s="16" t="s">
        <v>18</v>
      </c>
      <c r="G28" s="1" t="s">
        <v>31</v>
      </c>
    </row>
    <row r="29" spans="1:7" x14ac:dyDescent="0.3">
      <c r="A29" s="13">
        <v>453</v>
      </c>
      <c r="B29" s="1" t="s">
        <v>38</v>
      </c>
      <c r="C29" s="14" t="s">
        <v>53</v>
      </c>
      <c r="D29" s="7" t="s">
        <v>12</v>
      </c>
      <c r="F29" t="s">
        <v>39</v>
      </c>
      <c r="G29" s="1" t="s">
        <v>31</v>
      </c>
    </row>
    <row r="30" spans="1:7" x14ac:dyDescent="0.3">
      <c r="A30">
        <v>342</v>
      </c>
      <c r="B30" s="1" t="s">
        <v>37</v>
      </c>
      <c r="C30" s="14" t="s">
        <v>54</v>
      </c>
      <c r="D30" s="16" t="s">
        <v>18</v>
      </c>
      <c r="G30" s="1" t="s">
        <v>31</v>
      </c>
    </row>
    <row r="31" spans="1:7" x14ac:dyDescent="0.3">
      <c r="A31" s="2">
        <v>167</v>
      </c>
      <c r="B31" s="3" t="s">
        <v>57</v>
      </c>
      <c r="C31" s="2" t="s">
        <v>54</v>
      </c>
      <c r="D31" s="15" t="s">
        <v>8</v>
      </c>
      <c r="E31" s="2" t="s">
        <v>9</v>
      </c>
      <c r="F31" s="2" t="s">
        <v>20</v>
      </c>
      <c r="G31" s="2" t="s">
        <v>23</v>
      </c>
    </row>
    <row r="32" spans="1:7" x14ac:dyDescent="0.3">
      <c r="A32" s="2">
        <v>124</v>
      </c>
      <c r="B32" s="3" t="s">
        <v>58</v>
      </c>
      <c r="C32" s="2" t="s">
        <v>53</v>
      </c>
      <c r="D32" s="15" t="s">
        <v>8</v>
      </c>
      <c r="E32" s="2" t="s">
        <v>9</v>
      </c>
      <c r="F32" s="2" t="s">
        <v>11</v>
      </c>
      <c r="G32" s="2" t="s">
        <v>23</v>
      </c>
    </row>
    <row r="33" spans="1:7" x14ac:dyDescent="0.3">
      <c r="A33" s="8">
        <v>526</v>
      </c>
      <c r="B33" s="1" t="s">
        <v>48</v>
      </c>
      <c r="C33" s="14" t="s">
        <v>54</v>
      </c>
      <c r="D33" s="17" t="s">
        <v>18</v>
      </c>
      <c r="E33" t="s">
        <v>9</v>
      </c>
      <c r="G33" t="s">
        <v>31</v>
      </c>
    </row>
    <row r="34" spans="1:7" x14ac:dyDescent="0.3">
      <c r="A34" s="8">
        <v>522</v>
      </c>
      <c r="B34" s="1" t="s">
        <v>49</v>
      </c>
      <c r="C34" s="14" t="s">
        <v>54</v>
      </c>
      <c r="D34" s="17" t="s">
        <v>18</v>
      </c>
      <c r="G34" t="s">
        <v>31</v>
      </c>
    </row>
    <row r="35" spans="1:7" x14ac:dyDescent="0.3">
      <c r="A35" s="8">
        <v>513</v>
      </c>
      <c r="B35" s="1" t="s">
        <v>50</v>
      </c>
      <c r="C35" s="14" t="s">
        <v>54</v>
      </c>
      <c r="D35" s="17" t="s">
        <v>18</v>
      </c>
      <c r="G35" t="s">
        <v>31</v>
      </c>
    </row>
    <row r="36" spans="1:7" x14ac:dyDescent="0.3">
      <c r="A36" s="8">
        <v>512</v>
      </c>
      <c r="B36" s="1" t="s">
        <v>51</v>
      </c>
      <c r="C36" s="14" t="s">
        <v>54</v>
      </c>
      <c r="D36" s="17" t="s">
        <v>18</v>
      </c>
      <c r="G36" t="s">
        <v>31</v>
      </c>
    </row>
  </sheetData>
  <autoFilter ref="A1:G36" xr:uid="{2E5A43C0-7B15-4C7B-91F8-955D099CE460}"/>
  <phoneticPr fontId="6" type="noConversion"/>
  <dataValidations count="1">
    <dataValidation type="list" allowBlank="1" showInputMessage="1" showErrorMessage="1" sqref="C1:C1048576" xr:uid="{A830CCDD-3CFD-4957-AEDC-6A88CF075E14}">
      <formula1>"Closed, Open"</formula1>
    </dataValidation>
  </dataValidations>
  <hyperlinks>
    <hyperlink ref="B2" r:id="rId1" display="https://github.com/S-101-Portrayal-subWG/Working-Documents/issues/199" xr:uid="{24EC7DA7-4646-407A-B3A6-4EB8B37793C5}"/>
    <hyperlink ref="B3" r:id="rId2" display="https://github.com/S-101-Portrayal-subWG/Working-Documents/issues/198" xr:uid="{934B6121-534C-4CD9-B89B-9E9E6A20E607}"/>
    <hyperlink ref="B4" r:id="rId3" display="https://github.com/S-101-Portrayal-subWG/Working-Documents/issues/191" xr:uid="{9682763F-81FE-45CF-8775-534B5B5CC895}"/>
    <hyperlink ref="B13" r:id="rId4" display="https://github.com/S-101-Portrayal-subWG/Working-Documents/issues/177" xr:uid="{521DFB11-5B4B-4BDA-98B4-5E0A711D3211}"/>
    <hyperlink ref="G16" r:id="rId5" display="https://github.com/iho-ohi/S-101_Portrayal-Catalogue" xr:uid="{23434E00-3200-464D-8C22-B61DC002CC42}"/>
    <hyperlink ref="G17:G27" r:id="rId6" display="https://github.com/iho-ohi/S-101_Portrayal-Catalogue" xr:uid="{078D6B06-456B-48DE-85F5-7B943A55C7C2}"/>
    <hyperlink ref="B16" r:id="rId7" display="https://github.com/iho-ohi/S-101_Portrayal-Catalogue/issues/502" xr:uid="{DA4C38C8-13BF-4B76-8FEB-C04DF4508C54}"/>
    <hyperlink ref="B17" r:id="rId8" display="https://github.com/iho-ohi/S-101_Portrayal-Catalogue/issues/499" xr:uid="{2BB136D4-D586-4007-B882-C5888FC424F8}"/>
    <hyperlink ref="B18" r:id="rId9" display="https://github.com/iho-ohi/S-101_Portrayal-Catalogue/issues/497" xr:uid="{953CFDC7-0491-4CC0-A99E-7E1150EB7379}"/>
    <hyperlink ref="B19" r:id="rId10" display="https://github.com/iho-ohi/S-101_Portrayal-Catalogue/issues/495" xr:uid="{3B9D668B-2E88-4280-96D0-704F2D146AF0}"/>
    <hyperlink ref="B21" r:id="rId11" display="https://github.com/iho-ohi/S-101_Portrayal-Catalogue/issues/481" xr:uid="{128B2D35-22B6-4EEA-8B99-68D54C9369A1}"/>
    <hyperlink ref="B30" r:id="rId12" display="https://github.com/iho-ohi/S-101_Portrayal-Catalogue/issues/342" xr:uid="{A764CE8E-BB86-46C2-AEAF-9D26C794399B}"/>
    <hyperlink ref="B29" r:id="rId13" display="https://github.com/iho-ohi/S-101_Portrayal-Catalogue/issues/453" xr:uid="{18829773-C0D5-44FE-B73E-8FB552E22C1D}"/>
    <hyperlink ref="G28:G30" r:id="rId14" display="https://github.com/iho-ohi/S-101_Portrayal-Catalogue" xr:uid="{DACD2D7E-E015-4200-ABCD-23B784C344F3}"/>
    <hyperlink ref="B28" r:id="rId15" display="https://github.com/iho-ohi/S-101_Portrayal-Catalogue/issues/465" xr:uid="{13A96B06-0D74-4920-92D5-94B98BE5DED0}"/>
    <hyperlink ref="B27" r:id="rId16" display="https://github.com/iho-ohi/S-101_Portrayal-Catalogue/issues/470" xr:uid="{A2FCC64F-1A55-4B6F-8CDC-F05E5ACD3E01}"/>
    <hyperlink ref="B26" r:id="rId17" display="https://github.com/iho-ohi/S-101_Portrayal-Catalogue/issues/471" xr:uid="{71C7978F-30FE-453F-947C-318CF6CFE872}"/>
    <hyperlink ref="B25" r:id="rId18" display="https://github.com/iho-ohi/S-101_Portrayal-Catalogue/issues/474" xr:uid="{CC873E72-6827-496C-A156-68119D012063}"/>
    <hyperlink ref="B24" r:id="rId19" display="https://github.com/iho-ohi/S-101_Portrayal-Catalogue/issues/475" xr:uid="{CF543F6D-9D3D-442A-BD9A-34D0423683A2}"/>
    <hyperlink ref="B33" r:id="rId20" xr:uid="{C8C29BC8-12D0-4582-ACA7-13BAA553CCCD}"/>
    <hyperlink ref="B34" r:id="rId21" xr:uid="{85D52DBB-582B-4666-A8BF-28B71DD3DD94}"/>
    <hyperlink ref="B35" r:id="rId22" xr:uid="{1D8DC6CD-FE31-43D7-B6F4-611BBA9B7AE0}"/>
    <hyperlink ref="B36" r:id="rId23" xr:uid="{AA8293EA-D626-4A83-B34A-C57C6FA1C505}"/>
    <hyperlink ref="B22" r:id="rId24" xr:uid="{9CCBDD0F-69E0-479A-AB96-8A690C2D1CDC}"/>
    <hyperlink ref="B20" r:id="rId25" xr:uid="{9DD3B81E-643D-4574-8A25-11E63304CC13}"/>
    <hyperlink ref="B31" r:id="rId26" xr:uid="{8F4F4FC2-D0E4-47B9-9DF8-C5164453A705}"/>
    <hyperlink ref="B32" r:id="rId27" xr:uid="{6AC464A1-738E-4641-AC47-70869B648BCC}"/>
    <hyperlink ref="B14" r:id="rId28" xr:uid="{49F25AD4-39D7-4195-B286-AF2953632868}"/>
    <hyperlink ref="B15" r:id="rId29" xr:uid="{078B2167-67BC-41D1-BA95-73FB2072AF84}"/>
    <hyperlink ref="B23" r:id="rId30" xr:uid="{9F15C316-1477-4097-8ECA-FA6543A1D8F4}"/>
    <hyperlink ref="B5" r:id="rId31" xr:uid="{8CEDDACA-EA52-467A-BE4C-126E21556EFC}"/>
    <hyperlink ref="B8" r:id="rId32" xr:uid="{F8B8D303-8130-4EF4-B357-4BE43E772EB4}"/>
    <hyperlink ref="B9" r:id="rId33" xr:uid="{BB15C8B6-6CC6-457C-9C22-056B755F38E0}"/>
    <hyperlink ref="B10" r:id="rId34" xr:uid="{170EC309-5635-419D-A1A1-A71DC356A6E8}"/>
    <hyperlink ref="B11" r:id="rId35" xr:uid="{47EF0374-ED1D-44DF-AD2A-830240195934}"/>
    <hyperlink ref="B6" r:id="rId36" xr:uid="{8DFF3F37-35C8-4E30-91F7-9AD92ACA67E7}"/>
    <hyperlink ref="B7" r:id="rId37" xr:uid="{30C6119E-8E27-4125-83DB-369E2FD54BF7}"/>
    <hyperlink ref="B12" r:id="rId38" xr:uid="{8B6B5C0B-CEE7-4262-A823-CC7BFFDC5A90}"/>
  </hyperlinks>
  <pageMargins left="0.7" right="0.7" top="0.75" bottom="0.75" header="0.3" footer="0.3"/>
  <pageSetup paperSize="9" orientation="portrait" r:id="rId39"/>
</worksheet>
</file>

<file path=docMetadata/LabelInfo.xml><?xml version="1.0" encoding="utf-8"?>
<clbl:labelList xmlns:clbl="http://schemas.microsoft.com/office/2020/mipLabelMetadata">
  <clbl:label id="{571beb23-8ea8-44b3-ba27-9e8ead2039ca}" enabled="1" method="Privilege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Portrayal sub WG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Richardson</dc:creator>
  <cp:lastModifiedBy>Abad, Hyacinth S CIV USN NIWC ATLANTIC SC (USA)</cp:lastModifiedBy>
  <dcterms:created xsi:type="dcterms:W3CDTF">2026-06-16T12:46:50Z</dcterms:created>
  <dcterms:modified xsi:type="dcterms:W3CDTF">2026-07-23T11:32:42Z</dcterms:modified>
</cp:coreProperties>
</file>